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OneDrive - The Ohio State University\Desktop\math\cox\"/>
    </mc:Choice>
  </mc:AlternateContent>
  <xr:revisionPtr revIDLastSave="0" documentId="13_ncr:1_{89F2BA91-5322-4014-AE8F-A01C133EF620}" xr6:coauthVersionLast="47" xr6:coauthVersionMax="47" xr10:uidLastSave="{00000000-0000-0000-0000-000000000000}"/>
  <bookViews>
    <workbookView xWindow="3855" yWindow="1200" windowWidth="21600" windowHeight="11295" xr2:uid="{75BD9C03-A5F2-4903-888C-3CBB1CF69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 a="1"/>
  <c r="C43" i="1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<sst xmlns="http://schemas.openxmlformats.org/spreadsheetml/2006/main" count="75" uniqueCount="75">
  <si>
    <t>Chapters</t>
  </si>
  <si>
    <t>Sections</t>
  </si>
  <si>
    <t>1.1 Polynomials and Affine Space</t>
  </si>
  <si>
    <t>1.2 Affine Varieties</t>
  </si>
  <si>
    <t>1.3 Parametrizations of Affine Varieties</t>
  </si>
  <si>
    <t>1.4 Ideals</t>
  </si>
  <si>
    <t>1.5 Polynomials of One Variable</t>
  </si>
  <si>
    <t>2.1 Introduction</t>
  </si>
  <si>
    <t>2.4 Monomial Ideals and Dickson's Lemma</t>
  </si>
  <si>
    <t>2.5 The Hilbert Basis Theorem and Grobner Bases</t>
  </si>
  <si>
    <t>2.6 Properties of Grobner Bases</t>
  </si>
  <si>
    <t>2.7 Buchberger's Algorithm</t>
  </si>
  <si>
    <t>2.8 First Applications of Grobner Bases</t>
  </si>
  <si>
    <t>2.9 Refinements of the Buchberger Criterion</t>
  </si>
  <si>
    <t>2.10 Improvements on Buchberger's Algorithm</t>
  </si>
  <si>
    <t>3.1 The Elimination and Extension Theorems</t>
  </si>
  <si>
    <t>3.2 The Geometry of Elimination</t>
  </si>
  <si>
    <t>3.3 Implicitization</t>
  </si>
  <si>
    <t>3.4 Singular Points and Envelopes</t>
  </si>
  <si>
    <t>3.5 Grobner Bases and the Extension Theorem</t>
  </si>
  <si>
    <t>3.6 Resultants and the Extension Theorem</t>
  </si>
  <si>
    <t>4.1 Hilbert's Nullstellensatz</t>
  </si>
  <si>
    <t>4.2 Radical Ideals and the Ideal-Variety Correspondence</t>
  </si>
  <si>
    <t>4.5 Irreducible Varieties and Prime Ideals</t>
  </si>
  <si>
    <t>4.6 Decomposition of a Variety into Irreducibles</t>
  </si>
  <si>
    <t>4.7 Proof of the Closure Theorem</t>
  </si>
  <si>
    <t>4.8 Primary Decomposition of Ideals</t>
  </si>
  <si>
    <t>4.9 Summary</t>
  </si>
  <si>
    <t>5.1 Polynomial Mappings</t>
  </si>
  <si>
    <t>5.2 Quotients of Polynomial Rings</t>
  </si>
  <si>
    <t>5.4 The Coordinate Ring of an Affine Variety</t>
  </si>
  <si>
    <t>5.5 Rational Functions on a Variety</t>
  </si>
  <si>
    <t>5.6 Relative Finiteness and Noether Normalization</t>
  </si>
  <si>
    <t>6.1 Geometric Description of Robots</t>
  </si>
  <si>
    <t>6.2 The Forward Kinematic Problem</t>
  </si>
  <si>
    <t>6.3 The Inverse Kinematic Problem and Motion Planning</t>
  </si>
  <si>
    <t>6.4 Automatic Geometric Theorem Proving</t>
  </si>
  <si>
    <t>6.5 Wu's Method</t>
  </si>
  <si>
    <t>7.1 Symmetric Polynomials</t>
  </si>
  <si>
    <t>7.2 Finite Matrix Groups and Rings of Invariants</t>
  </si>
  <si>
    <t>7.3 Generators for the Ring of Invariants</t>
  </si>
  <si>
    <t>7.4 Relations Among Generators and the Geometry of Orbits</t>
  </si>
  <si>
    <t>8.1 The Projective Plane</t>
  </si>
  <si>
    <t>8.2 Projective Space and Projective Varieties</t>
  </si>
  <si>
    <t>8.3 The Projective Algebra-Geometry Dictionary</t>
  </si>
  <si>
    <t>8.4 The Projective Closure of an Affine Variety</t>
  </si>
  <si>
    <t>8.5 Projective Elimination Theory</t>
  </si>
  <si>
    <t>8.6 The Geometry of Quadric Hypersurfaces</t>
  </si>
  <si>
    <t>8.7 Bezout's Theorem</t>
  </si>
  <si>
    <t>9.1 The Variety of a Monomial Ideal</t>
  </si>
  <si>
    <t>9.2 The Complement of a Monomial Ideal</t>
  </si>
  <si>
    <t>9.3 The Hilbert Function and the Dimension of a Variety</t>
  </si>
  <si>
    <t>9.4 Elementary Properties of Dimension</t>
  </si>
  <si>
    <t>9.5 Dimension and Algebraic Independence</t>
  </si>
  <si>
    <t>9.6 Dimension and Non singularity</t>
  </si>
  <si>
    <t>9.7 The Tangent Cone</t>
  </si>
  <si>
    <t>10.1 Preliminaries</t>
  </si>
  <si>
    <t>10.2 Hilbert Driven Buchberger Algorithms</t>
  </si>
  <si>
    <t>10.3 The F4 Algorithm</t>
  </si>
  <si>
    <t>10.4 Signature-Based Algorithms and F5</t>
  </si>
  <si>
    <t>2.2 Ordering of the Monomial in k[x1,...,xn]</t>
  </si>
  <si>
    <t>2.3 A Division Algorithm in k[x1,...,xn]</t>
  </si>
  <si>
    <t>4.3 Sums, Products, and Intersections of Ideals</t>
  </si>
  <si>
    <t>4.4 Zariski Closures, Ideal Quotients, and Saturations</t>
  </si>
  <si>
    <t>5.3 Algorithmic Computations in k[x1,...,xn]/I</t>
  </si>
  <si>
    <t>1. Geometry, Algebra, and Algorithms</t>
  </si>
  <si>
    <t>2. Grobner Bases</t>
  </si>
  <si>
    <t>3. Elimination Theory</t>
  </si>
  <si>
    <t>4. The Algebra-Geometry Dictionary</t>
  </si>
  <si>
    <t>5. Polynomial and Rational Functions on a Variety</t>
  </si>
  <si>
    <t>6. Robotics and Automatic Geometric Theorem Proving</t>
  </si>
  <si>
    <t>7. Invariant Theory of Finite Groups</t>
  </si>
  <si>
    <t>8. Projective Algebraic Geometry</t>
  </si>
  <si>
    <t>9. The Dimension of a Variety</t>
  </si>
  <si>
    <t>10. Additional Grobner Basis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</si>
</sst>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A604-A79F-4706-A612-0E7EC04B1383}">
  <dimension ref="A1:BU202"/>
  <sheetViews>
    <sheetView tabSelected="1" zoomScale="85" zoomScaleNormal="85" workbookViewId="0">
      <selection activeCell="F13" sqref="F13"/>
    </sheetView>
  </sheetViews>
  <sheetFormatPr defaultRowHeight="15" x14ac:dyDescent="0.25"/>
  <cols>
    <col min="1" max="1" width="46.7109375" bestFit="1" customWidth="1"/>
    <col min="2" max="2" width="59.7109375" bestFit="1" customWidth="1"/>
    <col min="3" max="3" width="2.28515625" bestFit="1" customWidth="1"/>
    <col min="4" max="11" width="3.28515625" bestFit="1" customWidth="1"/>
    <col min="12" max="26" width="4.5703125" bestFit="1" customWidth="1"/>
    <col min="27" max="71" width="4.42578125" bestFit="1" customWidth="1"/>
  </cols>
  <sheetData>
    <row r="1" spans="1:73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 x14ac:dyDescent="0.25">
      <c r="A2" s="7" t="s">
        <v>65</v>
      </c>
      <c r="B2" s="5" t="s">
        <v>2</v>
      </c>
      <c r="C2" s="2" cm="1">
        <f t="array" ref="C2:H2">_xlfn.SEQUENCE(1,6,1,1)</f>
        <v>1</v>
      </c>
      <c r="D2" s="3">
        <v>2</v>
      </c>
      <c r="E2" s="3">
        <v>3</v>
      </c>
      <c r="F2" s="2">
        <v>4</v>
      </c>
      <c r="G2" s="3">
        <v>5</v>
      </c>
      <c r="H2" s="3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x14ac:dyDescent="0.25">
      <c r="A3" s="7"/>
      <c r="B3" s="5" t="s">
        <v>3</v>
      </c>
      <c r="C3" s="3" cm="1">
        <f t="array" ref="C3:Q3">_xlfn.SEQUENCE(1,15,1,1)</f>
        <v>1</v>
      </c>
      <c r="D3" s="2">
        <v>2</v>
      </c>
      <c r="E3" s="2">
        <v>3</v>
      </c>
      <c r="F3" s="2">
        <v>4</v>
      </c>
      <c r="G3" s="2">
        <v>5</v>
      </c>
      <c r="H3" s="3">
        <v>6</v>
      </c>
      <c r="I3" s="2">
        <v>7</v>
      </c>
      <c r="J3" s="3">
        <v>8</v>
      </c>
      <c r="K3" s="3">
        <v>9</v>
      </c>
      <c r="L3" s="3">
        <v>10</v>
      </c>
      <c r="M3" s="3">
        <v>11</v>
      </c>
      <c r="N3" s="2">
        <v>12</v>
      </c>
      <c r="O3" s="2">
        <v>13</v>
      </c>
      <c r="P3" s="2">
        <v>14</v>
      </c>
      <c r="Q3" s="3">
        <v>15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x14ac:dyDescent="0.25">
      <c r="A4" s="7"/>
      <c r="B4" s="5" t="s">
        <v>4</v>
      </c>
      <c r="C4" s="3" cm="1">
        <f t="array" ref="C4:S4">_xlfn.SEQUENCE(1,17,1,1)</f>
        <v>1</v>
      </c>
      <c r="D4" s="3">
        <v>2</v>
      </c>
      <c r="E4" s="3">
        <v>3</v>
      </c>
      <c r="F4" s="2">
        <v>4</v>
      </c>
      <c r="G4" s="2">
        <v>5</v>
      </c>
      <c r="H4" s="3">
        <v>6</v>
      </c>
      <c r="I4" s="2">
        <v>7</v>
      </c>
      <c r="J4" s="3">
        <v>8</v>
      </c>
      <c r="K4" s="2">
        <v>9</v>
      </c>
      <c r="L4" s="3">
        <v>10</v>
      </c>
      <c r="M4" s="3">
        <v>11</v>
      </c>
      <c r="N4" s="3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x14ac:dyDescent="0.25">
      <c r="A5" s="7"/>
      <c r="B5" s="5" t="s">
        <v>5</v>
      </c>
      <c r="C5" s="2" cm="1">
        <f t="array" ref="C5:U5">_xlfn.SEQUENCE(1,19,1,1)</f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2">
        <v>12</v>
      </c>
      <c r="O5" s="2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2">
        <v>19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x14ac:dyDescent="0.25">
      <c r="A6" s="7"/>
      <c r="B6" s="5" t="s">
        <v>6</v>
      </c>
      <c r="C6" s="3" cm="1">
        <f t="array" ref="C6:S6">_xlfn.SEQUENCE(1,17,1,1)</f>
        <v>1</v>
      </c>
      <c r="D6" s="2">
        <v>2</v>
      </c>
      <c r="E6" s="3">
        <v>3</v>
      </c>
      <c r="F6" s="3">
        <v>4</v>
      </c>
      <c r="G6" s="2">
        <v>5</v>
      </c>
      <c r="H6" s="3">
        <v>6</v>
      </c>
      <c r="I6" s="3">
        <v>7</v>
      </c>
      <c r="J6" s="2">
        <v>8</v>
      </c>
      <c r="K6" s="2">
        <v>9</v>
      </c>
      <c r="L6" s="2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2">
        <v>17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x14ac:dyDescent="0.25">
      <c r="A7" s="6" t="s">
        <v>66</v>
      </c>
      <c r="B7" s="5" t="s">
        <v>7</v>
      </c>
      <c r="C7" s="2" cm="1">
        <f t="array" ref="C7:G7">_xlfn.SEQUENCE(1,5,1,1)</f>
        <v>1</v>
      </c>
      <c r="D7" s="2">
        <v>2</v>
      </c>
      <c r="E7" s="2">
        <v>3</v>
      </c>
      <c r="F7" s="3">
        <v>4</v>
      </c>
      <c r="G7" s="3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x14ac:dyDescent="0.25">
      <c r="A8" s="6"/>
      <c r="B8" s="5" t="s">
        <v>60</v>
      </c>
      <c r="C8" s="3" cm="1">
        <f t="array" ref="C8:O8">_xlfn.SEQUENCE(1,13,1,1)</f>
        <v>1</v>
      </c>
      <c r="D8" s="2">
        <v>2</v>
      </c>
      <c r="E8" s="2">
        <v>3</v>
      </c>
      <c r="F8" s="3">
        <v>4</v>
      </c>
      <c r="G8" s="3">
        <v>5</v>
      </c>
      <c r="H8" s="2">
        <v>6</v>
      </c>
      <c r="I8" s="3">
        <v>7</v>
      </c>
      <c r="J8" s="2">
        <v>8</v>
      </c>
      <c r="K8" s="2">
        <v>9</v>
      </c>
      <c r="L8" s="3">
        <v>10</v>
      </c>
      <c r="M8" s="3">
        <v>11</v>
      </c>
      <c r="N8" s="3">
        <v>12</v>
      </c>
      <c r="O8" s="3">
        <v>13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x14ac:dyDescent="0.25">
      <c r="A9" s="6"/>
      <c r="B9" s="5" t="s">
        <v>61</v>
      </c>
      <c r="C9" s="3" cm="1">
        <f t="array" ref="C9:N9">_xlfn.SEQUENCE(1,12,1,1)</f>
        <v>1</v>
      </c>
      <c r="D9" s="2">
        <v>2</v>
      </c>
      <c r="E9" s="2">
        <v>3</v>
      </c>
      <c r="F9" s="3">
        <v>4</v>
      </c>
      <c r="G9" s="3">
        <v>5</v>
      </c>
      <c r="H9" s="2">
        <v>6</v>
      </c>
      <c r="I9" s="2">
        <v>7</v>
      </c>
      <c r="J9" s="3">
        <v>8</v>
      </c>
      <c r="K9" s="3">
        <v>9</v>
      </c>
      <c r="L9" s="2">
        <v>10</v>
      </c>
      <c r="M9" s="3">
        <v>11</v>
      </c>
      <c r="N9" s="3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x14ac:dyDescent="0.25">
      <c r="A10" s="6"/>
      <c r="B10" s="5" t="s">
        <v>8</v>
      </c>
      <c r="C10" s="3" cm="1">
        <f t="array" ref="C10:M10">_xlfn.SEQUENCE(1,11,1,1)</f>
        <v>1</v>
      </c>
      <c r="D10" s="3">
        <v>2</v>
      </c>
      <c r="E10" s="2">
        <v>3</v>
      </c>
      <c r="F10" s="2">
        <v>4</v>
      </c>
      <c r="G10" s="3">
        <v>5</v>
      </c>
      <c r="H10" s="3">
        <v>6</v>
      </c>
      <c r="I10" s="3">
        <v>7</v>
      </c>
      <c r="J10" s="3">
        <v>8</v>
      </c>
      <c r="K10" s="2">
        <v>9</v>
      </c>
      <c r="L10" s="2">
        <v>10</v>
      </c>
      <c r="M10" s="2">
        <v>11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x14ac:dyDescent="0.25">
      <c r="A11" s="6"/>
      <c r="B11" s="5" t="s">
        <v>9</v>
      </c>
      <c r="C11" s="3" cm="1">
        <f t="array" ref="C11:T11">_xlfn.SEQUENCE(1,18,1,1)</f>
        <v>1</v>
      </c>
      <c r="D11" s="2">
        <v>2</v>
      </c>
      <c r="E11" s="3">
        <v>3</v>
      </c>
      <c r="F11" s="3">
        <v>4</v>
      </c>
      <c r="G11" s="3">
        <v>5</v>
      </c>
      <c r="H11" s="2">
        <v>6</v>
      </c>
      <c r="I11" s="2">
        <v>7</v>
      </c>
      <c r="J11" s="2">
        <v>8</v>
      </c>
      <c r="K11" s="2">
        <v>9</v>
      </c>
      <c r="L11" s="3">
        <v>10</v>
      </c>
      <c r="M11" s="2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2">
        <v>17</v>
      </c>
      <c r="T11" s="3">
        <v>18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25">
      <c r="A12" s="6"/>
      <c r="B12" s="5" t="s">
        <v>10</v>
      </c>
      <c r="C12" s="3" cm="1">
        <f t="array" ref="C12:O12">_xlfn.SEQUENCE(1,13,1,1)</f>
        <v>1</v>
      </c>
      <c r="D12" s="3">
        <v>2</v>
      </c>
      <c r="E12" s="3">
        <v>3</v>
      </c>
      <c r="F12" s="3">
        <v>4</v>
      </c>
      <c r="G12" s="2">
        <v>5</v>
      </c>
      <c r="H12" s="2">
        <v>6</v>
      </c>
      <c r="I12" s="3">
        <v>7</v>
      </c>
      <c r="J12" s="3">
        <v>8</v>
      </c>
      <c r="K12" s="3">
        <v>9</v>
      </c>
      <c r="L12" s="2">
        <v>10</v>
      </c>
      <c r="M12" s="3">
        <v>11</v>
      </c>
      <c r="N12" s="3">
        <v>12</v>
      </c>
      <c r="O12" s="3">
        <v>13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x14ac:dyDescent="0.25">
      <c r="A13" s="6"/>
      <c r="B13" s="4" t="s">
        <v>11</v>
      </c>
      <c r="C13" s="2" cm="1">
        <f t="array" ref="C13:P13">_xlfn.SEQUENCE(1,14,1,1)</f>
        <v>1</v>
      </c>
      <c r="D13" s="2">
        <v>2</v>
      </c>
      <c r="E13" s="2">
        <v>3</v>
      </c>
      <c r="F13" s="3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x14ac:dyDescent="0.25">
      <c r="A14" s="6"/>
      <c r="B14" s="4" t="s">
        <v>12</v>
      </c>
      <c r="C14" s="2" cm="1">
        <f t="array" ref="C14:N14">_xlfn.SEQUENCE(1,12,1,1)</f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x14ac:dyDescent="0.25">
      <c r="A15" s="6"/>
      <c r="B15" s="4" t="s">
        <v>13</v>
      </c>
      <c r="C15" s="2" cm="1">
        <f t="array" ref="C15:E15">_xlfn.SEQUENCE(1,3,1,1)</f>
        <v>1</v>
      </c>
      <c r="D15" s="2">
        <v>2</v>
      </c>
      <c r="E15" s="2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x14ac:dyDescent="0.25">
      <c r="A16" s="6"/>
      <c r="B16" s="4" t="s">
        <v>14</v>
      </c>
      <c r="C16" s="2" cm="1">
        <f t="array" ref="C16:O16">_xlfn.SEQUENCE(1,13,1,1)</f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x14ac:dyDescent="0.25">
      <c r="A17" s="6" t="s">
        <v>67</v>
      </c>
      <c r="B17" s="4" t="s">
        <v>15</v>
      </c>
      <c r="C17" s="2" cm="1">
        <f t="array" ref="C17:K17">_xlfn.SEQUENCE(1,9,1,1)</f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x14ac:dyDescent="0.25">
      <c r="A18" s="6"/>
      <c r="B18" s="4" t="s">
        <v>16</v>
      </c>
      <c r="C18" s="2" cm="1">
        <f t="array" ref="C18:G18">_xlfn.SEQUENCE(1,5,1,1)</f>
        <v>1</v>
      </c>
      <c r="D18" s="2">
        <v>2</v>
      </c>
      <c r="E18" s="2">
        <v>3</v>
      </c>
      <c r="F18" s="2">
        <v>4</v>
      </c>
      <c r="G18" s="2">
        <v>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x14ac:dyDescent="0.25">
      <c r="A19" s="6"/>
      <c r="B19" s="4" t="s">
        <v>17</v>
      </c>
      <c r="C19" s="2" cm="1">
        <f t="array" ref="C19:Q19">_xlfn.SEQUENCE(1,15,1,1)</f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x14ac:dyDescent="0.25">
      <c r="A20" s="6"/>
      <c r="B20" s="4" t="s">
        <v>18</v>
      </c>
      <c r="C20" s="2" cm="1">
        <f t="array" ref="C20:V20">_xlfn.SEQUENCE(1,20,1,1)</f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x14ac:dyDescent="0.25">
      <c r="A21" s="6"/>
      <c r="B21" s="4" t="s">
        <v>19</v>
      </c>
      <c r="C21" s="2" cm="1">
        <f t="array" ref="C21:I21">_xlfn.SEQUENCE(1,7,1,1)</f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x14ac:dyDescent="0.25">
      <c r="A22" s="6"/>
      <c r="B22" s="4" t="s">
        <v>20</v>
      </c>
      <c r="C22" s="2" cm="1">
        <f t="array" ref="C22:X22">_xlfn.SEQUENCE(1,22,1,1)</f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2">
        <v>21</v>
      </c>
      <c r="X22" s="2">
        <v>22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x14ac:dyDescent="0.25">
      <c r="A23" s="6" t="s">
        <v>68</v>
      </c>
      <c r="B23" s="4" t="s">
        <v>21</v>
      </c>
      <c r="C23" s="2" cm="1">
        <f t="array" ref="C23:L23">_xlfn.SEQUENCE(1,10,1,1)</f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x14ac:dyDescent="0.25">
      <c r="A24" s="6"/>
      <c r="B24" s="4" t="s">
        <v>22</v>
      </c>
      <c r="C24" s="2" cm="1">
        <f t="array" ref="C24:S24">_xlfn.SEQUENCE(1,17,1,1)</f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x14ac:dyDescent="0.25">
      <c r="A25" s="6"/>
      <c r="B25" s="4" t="s">
        <v>62</v>
      </c>
      <c r="C25" s="2" cm="1">
        <f t="array" ref="C25:Q25">_xlfn.SEQUENCE(1,15,1,1)</f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x14ac:dyDescent="0.25">
      <c r="A26" s="6"/>
      <c r="B26" s="4" t="s">
        <v>63</v>
      </c>
      <c r="C26" s="2" cm="1">
        <f t="array" ref="C26:Z26">_xlfn.SEQUENCE(1,24,1,1)</f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  <c r="Y26" s="2">
        <v>23</v>
      </c>
      <c r="Z26" s="2">
        <v>24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x14ac:dyDescent="0.25">
      <c r="A27" s="6"/>
      <c r="B27" s="4" t="s">
        <v>23</v>
      </c>
      <c r="C27" s="2" cm="1">
        <f t="array" ref="C27:P27">_xlfn.SEQUENCE(1,14,1,1)</f>
        <v>1</v>
      </c>
      <c r="D27" s="2">
        <v>2</v>
      </c>
      <c r="E27" s="2">
        <v>3</v>
      </c>
      <c r="F27" s="2">
        <v>4</v>
      </c>
      <c r="G27" s="2">
        <v>5</v>
      </c>
      <c r="H27" s="2">
        <v>6</v>
      </c>
      <c r="I27" s="2">
        <v>7</v>
      </c>
      <c r="J27" s="2">
        <v>8</v>
      </c>
      <c r="K27" s="2">
        <v>9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x14ac:dyDescent="0.25">
      <c r="A28" s="6"/>
      <c r="B28" s="4" t="s">
        <v>24</v>
      </c>
      <c r="C28" s="2" cm="1">
        <f t="array" ref="C28:L28">_xlfn.SEQUENCE(1,10,1,1)</f>
        <v>1</v>
      </c>
      <c r="D28" s="2">
        <v>2</v>
      </c>
      <c r="E28" s="2">
        <v>3</v>
      </c>
      <c r="F28" s="2">
        <v>4</v>
      </c>
      <c r="G28" s="2">
        <v>5</v>
      </c>
      <c r="H28" s="2">
        <v>6</v>
      </c>
      <c r="I28" s="2">
        <v>7</v>
      </c>
      <c r="J28" s="2">
        <v>8</v>
      </c>
      <c r="K28" s="2">
        <v>9</v>
      </c>
      <c r="L28" s="2">
        <v>10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x14ac:dyDescent="0.25">
      <c r="A29" s="6"/>
      <c r="B29" s="4" t="s">
        <v>25</v>
      </c>
      <c r="C29" s="2" cm="1">
        <f t="array" ref="C29:Q29">_xlfn.SEQUENCE(1,15,1,1)</f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x14ac:dyDescent="0.25">
      <c r="A30" s="6"/>
      <c r="B30" s="4" t="s">
        <v>26</v>
      </c>
      <c r="C30" s="2" cm="1">
        <f t="array" ref="C30:P30">_xlfn.SEQUENCE(1,14,1,1)</f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x14ac:dyDescent="0.25">
      <c r="A31" s="6"/>
      <c r="B31" s="4" t="s">
        <v>27</v>
      </c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x14ac:dyDescent="0.25">
      <c r="A32" s="6" t="s">
        <v>69</v>
      </c>
      <c r="B32" s="4" t="s">
        <v>28</v>
      </c>
      <c r="C32" s="2" cm="1">
        <f t="array" ref="C32:L32">_xlfn.SEQUENCE(1,10,1,1)</f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x14ac:dyDescent="0.25">
      <c r="A33" s="6"/>
      <c r="B33" s="4" t="s">
        <v>29</v>
      </c>
      <c r="C33" s="2" cm="1">
        <f t="array" ref="C33:U33">_xlfn.SEQUENCE(1,19,1,1)</f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x14ac:dyDescent="0.25">
      <c r="A34" s="6"/>
      <c r="B34" s="4" t="s">
        <v>64</v>
      </c>
      <c r="C34" s="2" cm="1">
        <f t="array" ref="C34:P34">_xlfn.SEQUENCE(1,14,1,1)</f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 x14ac:dyDescent="0.25">
      <c r="A35" s="6"/>
      <c r="B35" s="4" t="s">
        <v>30</v>
      </c>
      <c r="C35" s="2" cm="1">
        <f t="array" ref="C35:X35">_xlfn.SEQUENCE(1,22,1,1)</f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2">
        <v>21</v>
      </c>
      <c r="X35" s="2">
        <v>22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 x14ac:dyDescent="0.25">
      <c r="A36" s="6"/>
      <c r="B36" s="4" t="s">
        <v>31</v>
      </c>
      <c r="C36" s="2" cm="1">
        <f t="array" ref="C36:P36">_xlfn.SEQUENCE(1,14,1,1)</f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 x14ac:dyDescent="0.25">
      <c r="A37" s="6"/>
      <c r="B37" s="4" t="s">
        <v>32</v>
      </c>
      <c r="C37" s="2" cm="1">
        <f t="array" ref="C37:T37">_xlfn.SEQUENCE(1,18,1,1)</f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 x14ac:dyDescent="0.25">
      <c r="A38" s="6" t="s">
        <v>70</v>
      </c>
      <c r="B38" s="4" t="s">
        <v>33</v>
      </c>
      <c r="C38" s="2" cm="1">
        <f t="array" ref="C38:H38">_xlfn.SEQUENCE(1,6,1,1)</f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 x14ac:dyDescent="0.25">
      <c r="A39" s="6"/>
      <c r="B39" s="4" t="s">
        <v>34</v>
      </c>
      <c r="C39" s="2" cm="1">
        <f t="array" ref="C39:K39">_xlfn.SEQUENCE(1,9,1,1)</f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 x14ac:dyDescent="0.25">
      <c r="A40" s="6"/>
      <c r="B40" s="4" t="s">
        <v>35</v>
      </c>
      <c r="C40" s="2" cm="1">
        <f t="array" ref="C40:W40">_xlfn.SEQUENCE(1,21,1,1)</f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2">
        <v>21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x14ac:dyDescent="0.25">
      <c r="A41" s="6"/>
      <c r="B41" s="4" t="s">
        <v>36</v>
      </c>
      <c r="C41" s="2" cm="1">
        <f t="array" ref="C41:S41">_xlfn.SEQUENCE(1,17,1,1)</f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x14ac:dyDescent="0.25">
      <c r="A42" s="6"/>
      <c r="B42" s="4" t="s">
        <v>37</v>
      </c>
      <c r="C42" s="2" cm="1">
        <f t="array" ref="C42:I42">_xlfn.SEQUENCE(1,7,1,1)</f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x14ac:dyDescent="0.25">
      <c r="A43" s="6" t="s">
        <v>71</v>
      </c>
      <c r="B43" s="4" t="s">
        <v>38</v>
      </c>
      <c r="C43" s="2" cm="1">
        <f t="array" ref="C43:V43">_xlfn.SEQUENCE(1,20,1,1)</f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x14ac:dyDescent="0.25">
      <c r="A44" s="6"/>
      <c r="B44" s="4" t="s">
        <v>39</v>
      </c>
      <c r="C44" s="2" cm="1">
        <f t="array" ref="C44:R44">_xlfn.SEQUENCE(1,16,1,1)</f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x14ac:dyDescent="0.25">
      <c r="A45" s="6"/>
      <c r="B45" s="4" t="s">
        <v>40</v>
      </c>
      <c r="C45" s="2" cm="1">
        <f t="array" ref="C45:N45">_xlfn.SEQUENCE(1,12,1,1)</f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x14ac:dyDescent="0.25">
      <c r="A46" s="6"/>
      <c r="B46" s="4" t="s">
        <v>41</v>
      </c>
      <c r="C46" s="2" cm="1">
        <f t="array" ref="C46:R46">_xlfn.SEQUENCE(1,16,1,1)</f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x14ac:dyDescent="0.25">
      <c r="A47" s="6" t="s">
        <v>72</v>
      </c>
      <c r="B47" s="4" t="s">
        <v>42</v>
      </c>
      <c r="C47" s="2" cm="1">
        <f t="array" ref="C47:M47">_xlfn.SEQUENCE(1,11,1,1)</f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x14ac:dyDescent="0.25">
      <c r="A48" s="6"/>
      <c r="B48" s="4" t="s">
        <v>43</v>
      </c>
      <c r="C48" s="2" cm="1">
        <f t="array" ref="C48:W48">_xlfn.SEQUENCE(1,21,1,1)</f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x14ac:dyDescent="0.25">
      <c r="A49" s="6"/>
      <c r="B49" s="4" t="s">
        <v>44</v>
      </c>
      <c r="C49" s="2" cm="1">
        <f t="array" ref="C49:O49">_xlfn.SEQUENCE(1,13,1,1)</f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x14ac:dyDescent="0.25">
      <c r="A50" s="6"/>
      <c r="B50" s="4" t="s">
        <v>45</v>
      </c>
      <c r="C50" s="2" cm="1">
        <f t="array" ref="C50:T50">_xlfn.SEQUENCE(1,18,1,1)</f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x14ac:dyDescent="0.25">
      <c r="A51" s="6"/>
      <c r="B51" s="4" t="s">
        <v>46</v>
      </c>
      <c r="C51" s="2" cm="1">
        <f t="array" ref="C51:R51">_xlfn.SEQUENCE(1,16,1,1)</f>
        <v>1</v>
      </c>
      <c r="D51" s="2">
        <v>2</v>
      </c>
      <c r="E51" s="2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2">
        <v>13</v>
      </c>
      <c r="P51" s="2">
        <v>14</v>
      </c>
      <c r="Q51" s="2">
        <v>15</v>
      </c>
      <c r="R51" s="2">
        <v>16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x14ac:dyDescent="0.25">
      <c r="A52" s="6"/>
      <c r="B52" s="4" t="s">
        <v>47</v>
      </c>
      <c r="C52" s="2" cm="1">
        <f t="array" ref="C52:Z52">_xlfn.SEQUENCE(1,24,1,1)</f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 x14ac:dyDescent="0.25">
      <c r="A53" s="6"/>
      <c r="B53" s="4" t="s">
        <v>48</v>
      </c>
      <c r="C53" s="2" cm="1">
        <f t="array" ref="C53:R53">_xlfn.SEQUENCE(1,16,1,1)</f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 x14ac:dyDescent="0.25">
      <c r="A54" s="6" t="s">
        <v>73</v>
      </c>
      <c r="B54" s="4" t="s">
        <v>49</v>
      </c>
      <c r="C54" s="2" cm="1">
        <f t="array" ref="C54:L54">_xlfn.SEQUENCE(1,10,1,1)</f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 x14ac:dyDescent="0.25">
      <c r="A55" s="6"/>
      <c r="B55" s="4" t="s">
        <v>50</v>
      </c>
      <c r="C55" s="2" cm="1">
        <f t="array" ref="C55:Q55">_xlfn.SEQUENCE(1,15,1,1)</f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x14ac:dyDescent="0.25">
      <c r="A56" s="6"/>
      <c r="B56" s="4" t="s">
        <v>51</v>
      </c>
      <c r="C56" s="2" cm="1">
        <f t="array" ref="C56:V56">_xlfn.SEQUENCE(1,20,1,1)</f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 x14ac:dyDescent="0.25">
      <c r="A57" s="6"/>
      <c r="B57" s="4" t="s">
        <v>52</v>
      </c>
      <c r="C57" s="2" cm="1">
        <f t="array" ref="C57:W57">_xlfn.SEQUENCE(1,21,1,1)</f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 x14ac:dyDescent="0.25">
      <c r="A58" s="6"/>
      <c r="B58" s="4" t="s">
        <v>53</v>
      </c>
      <c r="C58" s="2" cm="1">
        <f t="array" ref="C58:P58">_xlfn.SEQUENCE(1,14,1,1)</f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x14ac:dyDescent="0.25">
      <c r="A59" s="6"/>
      <c r="B59" s="4" t="s">
        <v>54</v>
      </c>
      <c r="C59" s="2" cm="1">
        <f t="array" ref="C59:T59">_xlfn.SEQUENCE(1,18,1,1)</f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x14ac:dyDescent="0.25">
      <c r="A60" s="6"/>
      <c r="B60" s="4" t="s">
        <v>55</v>
      </c>
      <c r="C60" s="2" cm="1">
        <f t="array" ref="C60:S60">_xlfn.SEQUENCE(1,17,1,1)</f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x14ac:dyDescent="0.25">
      <c r="A61" s="6" t="s">
        <v>74</v>
      </c>
      <c r="B61" s="4" t="s">
        <v>56</v>
      </c>
      <c r="C61" s="2" cm="1">
        <f t="array" ref="C61:L61">_xlfn.SEQUENCE(1,10,1,1)</f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x14ac:dyDescent="0.25">
      <c r="A62" s="6"/>
      <c r="B62" s="4" t="s">
        <v>57</v>
      </c>
      <c r="C62" s="2" cm="1">
        <f t="array" ref="C62:O62">_xlfn.SEQUENCE(1,13,1,1)</f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x14ac:dyDescent="0.25">
      <c r="A63" s="6"/>
      <c r="B63" s="4" t="s">
        <v>58</v>
      </c>
      <c r="C63" s="2" cm="1">
        <f t="array" ref="C63:G63">_xlfn.SEQUENCE(1,5,1,1)</f>
        <v>1</v>
      </c>
      <c r="D63" s="2">
        <v>2</v>
      </c>
      <c r="E63" s="2">
        <v>3</v>
      </c>
      <c r="F63" s="2">
        <v>4</v>
      </c>
      <c r="G63" s="2">
        <v>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x14ac:dyDescent="0.25">
      <c r="A64" s="6"/>
      <c r="B64" s="4" t="s">
        <v>59</v>
      </c>
      <c r="C64" s="2" cm="1">
        <f t="array" ref="C64:H64">_xlfn.SEQUENCE(1,6,1,1)</f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3:73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3:73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3:73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3:73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3:73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3:73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3:73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3:73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3:73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3:73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3:73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3:73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3:73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3:73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3:73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3:73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3:73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3:73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3:73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3:73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3:73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3:73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3:73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3:73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3:73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3:73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3:73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3:73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3:73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3:73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3:73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3:73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3:73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3:73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3:73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3:73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3:73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3:73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3:73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3:73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3:73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3:73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3:73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3:73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3:73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3:73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3:73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3:73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3:73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3:73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3:73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3:73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3:73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3:73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3:73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3:73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3:73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3:73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3:73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3:73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3:73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3:73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3:73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3:73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3:73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3:73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3:73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3:73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spans="3:73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spans="3:73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spans="3:73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spans="3:73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spans="3:73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spans="3:73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spans="3:73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spans="3:73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spans="3:73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spans="3:73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spans="3:73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spans="3:73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spans="3:73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spans="3:73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spans="3:73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spans="3:73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spans="3:73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spans="3:73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spans="3:73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spans="3:73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spans="3:73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spans="3:73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spans="3:73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spans="3:73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spans="3:73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spans="3:73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spans="3:73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spans="3:73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spans="3:73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spans="3:73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spans="3:73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spans="3:73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spans="3:73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spans="3:73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spans="3:73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spans="3:73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spans="3:73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spans="3:73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spans="3:73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spans="3:73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spans="3:73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spans="3:73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spans="3:73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3:73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spans="3:73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spans="3:73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spans="3:73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spans="3:73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spans="3:73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spans="3:73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spans="3:73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spans="3:73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spans="3:73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spans="3:73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spans="3:73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spans="3:73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spans="3:73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spans="3:73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spans="3:73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spans="3:73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spans="3:73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spans="3:73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spans="3:73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spans="3:73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spans="3:73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spans="3:73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spans="3:73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spans="3:73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spans="3:73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spans="3:73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</sheetData>
  <mergeCells count="10">
    <mergeCell ref="A61:A64"/>
    <mergeCell ref="A2:A6"/>
    <mergeCell ref="A7:A16"/>
    <mergeCell ref="A17:A22"/>
    <mergeCell ref="A23:A31"/>
    <mergeCell ref="A32:A37"/>
    <mergeCell ref="A38:A42"/>
    <mergeCell ref="A43:A46"/>
    <mergeCell ref="A47:A53"/>
    <mergeCell ref="A54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Noah</dc:creator>
  <cp:lastModifiedBy>Lewis, Noah</cp:lastModifiedBy>
  <dcterms:created xsi:type="dcterms:W3CDTF">2026-02-25T23:01:12Z</dcterms:created>
  <dcterms:modified xsi:type="dcterms:W3CDTF">2026-03-11T17:56:13Z</dcterms:modified>
</cp:coreProperties>
</file>